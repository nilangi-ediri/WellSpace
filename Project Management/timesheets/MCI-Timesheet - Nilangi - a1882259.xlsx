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531"/>
  <workbookPr showInkAnnotation="0" autoCompressPictures="0"/>
  <mc:AlternateContent xmlns:mc="http://schemas.openxmlformats.org/markup-compatibility/2006">
    <mc:Choice Requires="x15">
      <x15ac:absPath xmlns:x15ac="http://schemas.microsoft.com/office/spreadsheetml/2010/11/ac" url="D:\MCI_Project\Timesheets\"/>
    </mc:Choice>
  </mc:AlternateContent>
  <xr:revisionPtr revIDLastSave="0" documentId="13_ncr:1_{70A75E92-DF51-4018-879D-B170854B306B}" xr6:coauthVersionLast="47" xr6:coauthVersionMax="47" xr10:uidLastSave="{00000000-0000-0000-0000-000000000000}"/>
  <bookViews>
    <workbookView xWindow="-28920" yWindow="-120" windowWidth="29040" windowHeight="15720" tabRatio="500" xr2:uid="{00000000-000D-0000-FFFF-FFFF00000000}"/>
  </bookViews>
  <sheets>
    <sheet name="Sheet2" sheetId="1" r:id="rId1"/>
  </sheets>
  <definedNames>
    <definedName name="_xlnm.Print_Area" localSheetId="0">Sheet2!$A$1:$J$134</definedName>
    <definedName name="Week_Start">Sheet2!$C$4</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E132" i="1" l="1"/>
  <c r="E120" i="1"/>
  <c r="E108" i="1"/>
  <c r="E96" i="1"/>
  <c r="E84" i="1"/>
  <c r="E72" i="1"/>
  <c r="E60" i="1"/>
  <c r="E48" i="1"/>
  <c r="E36" i="1"/>
  <c r="E24" i="1"/>
  <c r="E12" i="1"/>
</calcChain>
</file>

<file path=xl/sharedStrings.xml><?xml version="1.0" encoding="utf-8"?>
<sst xmlns="http://schemas.openxmlformats.org/spreadsheetml/2006/main" count="429" uniqueCount="191">
  <si>
    <t>MCI Project Weekly Time Sheet</t>
  </si>
  <si>
    <t>Team</t>
  </si>
  <si>
    <t>Student ID</t>
  </si>
  <si>
    <t>Week starting:</t>
  </si>
  <si>
    <t>Day</t>
  </si>
  <si>
    <t>Date</t>
  </si>
  <si>
    <t>Time In</t>
  </si>
  <si>
    <t>Time Out</t>
  </si>
  <si>
    <t>Total hours</t>
  </si>
  <si>
    <t>Task</t>
  </si>
  <si>
    <t>Outcome/Next action</t>
  </si>
  <si>
    <t>Monday</t>
  </si>
  <si>
    <t>Tuesday</t>
  </si>
  <si>
    <t>Wednesday</t>
  </si>
  <si>
    <t>Thursday</t>
  </si>
  <si>
    <t>Friday</t>
  </si>
  <si>
    <t>Saturday</t>
  </si>
  <si>
    <t>Total</t>
  </si>
  <si>
    <t>22-N</t>
  </si>
  <si>
    <t>a1882259</t>
  </si>
  <si>
    <t>Nilangi</t>
  </si>
  <si>
    <t>Edirisinghe</t>
  </si>
  <si>
    <t>Feb 26 (Week 1)</t>
  </si>
  <si>
    <t>On Feb 22nd I had posted on discussion board, seeking for team members and written to Dr. Cruz.</t>
  </si>
  <si>
    <t xml:space="preserve"> Group 22 was created.</t>
  </si>
  <si>
    <t>N/A</t>
  </si>
  <si>
    <t>Writing emails, checking replies and replying back to form the group.</t>
  </si>
  <si>
    <t xml:space="preserve">Met the team members in the lecture, discussed project preferences in the workshop, and after the workshop as well. </t>
  </si>
  <si>
    <t>In order to start the MCI project, selecting a suitable topic and client is a crucial step.</t>
  </si>
  <si>
    <t>A list of preferences were sent to Dr. Cruz.</t>
  </si>
  <si>
    <t>Submitted a new list of preferences to Dr. Cruz upon her feedback.</t>
  </si>
  <si>
    <t>Updated the list of preferences according to Dr. Cruz's instructions as some of our preferences were already allocated.</t>
  </si>
  <si>
    <t>The final list of preferences was submitted which was instrumental in obtaining our first preference as  the group project title.</t>
  </si>
  <si>
    <t>March 4 (Week 2)</t>
  </si>
  <si>
    <t>How does it fit into project plan?</t>
  </si>
  <si>
    <t xml:space="preserve">According to Dr. Cruz's instructions, discussion of time availability and team organization was done. </t>
  </si>
  <si>
    <t>Team organization and coming up with a time for team internal meetings.</t>
  </si>
  <si>
    <t>Messaging the group and discussing on setting up internal meetings, client meetings and preparing for internal team meetings.</t>
  </si>
  <si>
    <t>Coming up with the communication plan for the team and for client meetings and emailing client.</t>
  </si>
  <si>
    <t xml:space="preserve">The Internal Team Meeting was held and I participated effectively. Self studies on HTML, CSS. </t>
  </si>
  <si>
    <t>Attended the lecture, workshop, met team members who were at university and did self studies on HTML, CSS.</t>
  </si>
  <si>
    <t>Gathering knowledge for the project and meeting team members.</t>
  </si>
  <si>
    <t>Relevant self study and lecture/workshop participation, meeting team members was done.</t>
  </si>
  <si>
    <t>Internal meeting was held.</t>
  </si>
  <si>
    <t>A roster to create minutes and agenda and listing
questions to ask client were created.</t>
  </si>
  <si>
    <t>Ensuring the client meeting would take place effectively.</t>
  </si>
  <si>
    <t>Team organization, communication plan and document management commenced.</t>
  </si>
  <si>
    <t>Created the agenda and hosted the client meeting.</t>
  </si>
  <si>
    <t>The first client meeting was an important step, where we got to know the client and questions in order to understand the nature and scope of project were asked.</t>
  </si>
  <si>
    <t>A good initial understanding about the project and the client's expectations were obtained.</t>
  </si>
  <si>
    <t>Researched about similar websites and self study on HTML, CSS, JS.</t>
  </si>
  <si>
    <t>Initial research and gathering technical knowledge.</t>
  </si>
  <si>
    <t>The understanding about the web project we are going to do was enhanced by researching other mental health web platforms and technical knowledge was also enhanced.</t>
  </si>
  <si>
    <t>March 11 (Week 3)</t>
  </si>
  <si>
    <t>Prepared for the next day's internal client meeting.</t>
  </si>
  <si>
    <t>Identifying what questions I should raise and discuss in the internal meeting.</t>
  </si>
  <si>
    <t>Preparation for the internal meeting was complete.</t>
  </si>
  <si>
    <t xml:space="preserve">Internal team meeting was held online. </t>
  </si>
  <si>
    <t>Discussion was undertaken regarding the resposibilities of the project, pitch presentation and meeting together at university the next day.</t>
  </si>
  <si>
    <t>Discussion on team roles and deciding to meet at university the next day.</t>
  </si>
  <si>
    <t>Started working towards the pitch presentation.</t>
  </si>
  <si>
    <t>I took the initiative to create slides for the pitch presentation, identified user scenarios of the project and the first step towards the pitch presentation was achieved.</t>
  </si>
  <si>
    <t>Met one other team member and together worked towards the front end slides. Had an internal team meeting.</t>
  </si>
  <si>
    <t>Working towards pitch presentation.</t>
  </si>
  <si>
    <t>A draftor skelton of the pitch presentation was created.</t>
  </si>
  <si>
    <t>Participated in the client meeting, showed our slides, asked questions and obtained feedback.</t>
  </si>
  <si>
    <t>Obtained feedback on the pitch presentation and obtained a further understanding about functional requirememnts of the website.</t>
  </si>
  <si>
    <t>Feedback on the pitch presentation, further understanding about the project and the client's expectations were obtained.</t>
  </si>
  <si>
    <t>Attended the lecture, attended the workshop and got advice from tutors, met team members who were at university and I started creating slides for the pitch presentation and shared the powerpoint presentation with the team members.</t>
  </si>
  <si>
    <t>Had an internal meeting to discuss our draft pitch presentation once again, and I created front end designs to be included in the presentation.</t>
  </si>
  <si>
    <t>Further improvements to presentation.</t>
  </si>
  <si>
    <t>Frontend designs of many pages that cover the main functional requirements of the project were created.</t>
  </si>
  <si>
    <t>March 18 (Week 4)</t>
  </si>
  <si>
    <t>Finalized all the content and designs of the pitch presentation.</t>
  </si>
  <si>
    <t>Submitted the finalized pitch presentation slides representing the whole group.</t>
  </si>
  <si>
    <t>Submitted the pitch presentation slides on time, sucessfully.</t>
  </si>
  <si>
    <t xml:space="preserve">Attended the lecture, attended the workshop and got feedback from the  tutors on the submitted slides, had an online meeting with team members to convey to them the feedback and made slight changes to pitch presentation. </t>
  </si>
  <si>
    <t>Progress towards the pitch presentation.</t>
  </si>
  <si>
    <t>Got feedback from tutors and conveyed to the whole team.</t>
  </si>
  <si>
    <t>Self study on functional requirements of web project.</t>
  </si>
  <si>
    <t>The functions of the main pages includng the challenges page was carried out.</t>
  </si>
  <si>
    <t>Main functions of many of the pages were identified.</t>
  </si>
  <si>
    <t>Did self study on Git and HTML, CSS, JavaScript.</t>
  </si>
  <si>
    <t>Improving technical knowledge.</t>
  </si>
  <si>
    <t>Some trial coding was done to get familiar with HTML, CSS, JS and Git.</t>
  </si>
  <si>
    <t>Participated in the client meeting, showed our pitch presentation.</t>
  </si>
  <si>
    <t>Obtained feedback that the presentation was good and learnt about the backend team's work.</t>
  </si>
  <si>
    <t>Progress towards the pitch presentation and project work, validation with client.</t>
  </si>
  <si>
    <t xml:space="preserve">Practised recording the pitch presentation and did re-recording.  </t>
  </si>
  <si>
    <t>Polished the recording of pitch presentation.</t>
  </si>
  <si>
    <t>Finished the individual part of recording in the pitch presentation.</t>
  </si>
  <si>
    <t>March 25 (Week 5)</t>
  </si>
  <si>
    <t>There was a problem with the combined video which the team had done  and I combined all individual recordings again.</t>
  </si>
  <si>
    <t>Submitted the pitch presentation video on time, sucessfully.</t>
  </si>
  <si>
    <t>Combined all videos and submitted the pitch presentation video.</t>
  </si>
  <si>
    <t>Did self study on React.js and had an internal team meeting.</t>
  </si>
  <si>
    <t>Improving technical knowledge of front end development.</t>
  </si>
  <si>
    <t>Moved on from pure JavaScript to React.js framework on self study.</t>
  </si>
  <si>
    <t>Enhancing technical skills and knowledge as pre-preparation for front end development of the project.</t>
  </si>
  <si>
    <t xml:space="preserve">Attended the workshop and did further self study on React.js and Bootstrap by undertaking small dummy projects in online tutorials.    </t>
  </si>
  <si>
    <t>Further study on React Bootstrap.</t>
  </si>
  <si>
    <t>Improved skills in React.js and bootstrap.</t>
  </si>
  <si>
    <t>Participated in the client meeting, and asked further questions to understand the functions.</t>
  </si>
  <si>
    <t>Getting further information on how the front end should be and getting approval for front end designs.</t>
  </si>
  <si>
    <t>April 1 (Week 6)</t>
  </si>
  <si>
    <t>I started the react project, did the initial setup to develop the frontend of WellSpace and started creating the home page.</t>
  </si>
  <si>
    <t>Started actually developing the project in the frontend.</t>
  </si>
  <si>
    <t>Initial project setup was done and started home page.</t>
  </si>
  <si>
    <t>Didwork on home page  and had an internal team meeting.</t>
  </si>
  <si>
    <t>Started working on the first page of the project.</t>
  </si>
  <si>
    <t>Developing the front end.</t>
  </si>
  <si>
    <t>Improving the home page.</t>
  </si>
  <si>
    <t>Attended the workshop and did further modifications to the home page and started looking at example blog pages.</t>
  </si>
  <si>
    <t>Participated in the client meeting, and presented the home page to the client.</t>
  </si>
  <si>
    <t>Getting further information on how the front end should be and getting approval for front end home page.</t>
  </si>
  <si>
    <t>Home Page Front End was approved.</t>
  </si>
  <si>
    <t>Discussion with frontend team as the frontend lead developer.</t>
  </si>
  <si>
    <t>Took the lead role of front end development of the project.</t>
  </si>
  <si>
    <t>Provided advice to others how to start front end development and divided tasks.</t>
  </si>
  <si>
    <t>Prepared business case and draft plan.</t>
  </si>
  <si>
    <t>Completed business case and draft plan.</t>
  </si>
  <si>
    <t>Worked on Business Case and draft plan including Gantt Chart.</t>
  </si>
  <si>
    <t>Started creating the blog page.</t>
  </si>
  <si>
    <t>Simple blog page.</t>
  </si>
  <si>
    <t>April 22 (Week 7)</t>
  </si>
  <si>
    <t>April 8 (Mid Semester Break)</t>
  </si>
  <si>
    <t>The Home Page in the front-end is the main crucial page of the website.</t>
  </si>
  <si>
    <t xml:space="preserve">The Blog is one of the main objectives of the web project that enhances community engagement. </t>
  </si>
  <si>
    <t>Main blog page created with static data as blog posts.</t>
  </si>
  <si>
    <t>Created the "Create Blog Posts" Page.</t>
  </si>
  <si>
    <t>A page for the experts to write blog articles is essential as a subpage of the blog.</t>
  </si>
  <si>
    <t>The create blog page was created with a rich text editor.</t>
  </si>
  <si>
    <t>April 15 (Mid Semester Break)</t>
  </si>
  <si>
    <t>Modified the home page page further based on client's feedback in the last meeting.</t>
  </si>
  <si>
    <t>Researched about blogs and blog pages and developed the main blog page with all blog posts.</t>
  </si>
  <si>
    <t>Created the Sign Up and Log In pages.</t>
  </si>
  <si>
    <t xml:space="preserve">Before the mid semester break, client had requested to create it as it is essential. </t>
  </si>
  <si>
    <t>Sign Up and Login were created with  necessary form fields.</t>
  </si>
  <si>
    <t xml:space="preserve">Created the Blog View page to view a single blog article. </t>
  </si>
  <si>
    <t xml:space="preserve">The initial "Blog View" page with comments and replies section -  </t>
  </si>
  <si>
    <t>A page to view, read and comment on each blog article is a main page needed to achieve one of the goals of enhancing community engagement for WellSpace.</t>
  </si>
  <si>
    <t>For later integration with back-end and front-end, it is essential to keep them updated with the data structure so that they can create the API accordingly.</t>
  </si>
  <si>
    <t xml:space="preserve">Conveying the updates to Back-end team. </t>
  </si>
  <si>
    <t>The front-end UI s, data models and static data structure of the blog and LogIn/ Sign Up pages were communicated to back-end.</t>
  </si>
  <si>
    <t>Created the Information Page.</t>
  </si>
  <si>
    <t>Information page was in project plan as a page to provide mental health information to users.</t>
  </si>
  <si>
    <t>The information page with a list group on the left as a side bar to navigate to each heading in information section.</t>
  </si>
  <si>
    <t>As the Home Page is the first page where users enter the website, it was made fully responsive and appealing to the users.</t>
  </si>
  <si>
    <t>The Blog is meant to build trust, enhance community engagement and get expert contribution for the help seekers.</t>
  </si>
  <si>
    <t>The blog's main page was created with a responsive design,
complete with a distinctive hero section and a catalog of articles. A "Write a New Article" feature
directs experts to a dedicated page equipped with a rich text
editor and image upload capabilities. Additionally, a separate,
visually engaging page allows users to view complete articles,
comment on, and reply to posts, fostering an interactive
community space.</t>
  </si>
  <si>
    <t>Client Meeting is instrumental in getting advice and feedback.</t>
  </si>
  <si>
    <t xml:space="preserve">Attended the lecture and workshop and updated the team on what was said. Modified the components of Home Page - Footer, NavBar and Get Involved Cards.Updated the cards and updated the navigation links in Home Page.
</t>
  </si>
  <si>
    <t>Modifying Three Blog Pages and wrote the Agenda and prepared the demo for the next day's client meeting. On the blog page:
 The search and category tags were implemented.</t>
  </si>
  <si>
    <t>Created a document on Challenges including information on various quizes and shared with the team. Modified Login and Sign Up pages with more appealing design and toggle buttons to toggle between user and expert.</t>
  </si>
  <si>
    <t>The Challenges page is one of the unique features of WellSpace and I created a document including information for the Challenges page. The user experience of LogIn and Sign Up pages were improved.</t>
  </si>
  <si>
    <t>Document with information on Challenges page and the improved LogIn and Sign Up pages.</t>
  </si>
  <si>
    <t>Home page with maximum responsiveness and user engagement featured with navigation bar that shows user profile icon when logged in, hero section, interactive cards and buttons, video esction, testimonials and a polished footer.</t>
  </si>
  <si>
    <t>Positive feedback from the client and suggestions for Milestone 2.</t>
  </si>
  <si>
    <t>April 29 (Week 8)</t>
  </si>
  <si>
    <t xml:space="preserve">Further modifications to Information Page and Demo at Client Meeting </t>
  </si>
  <si>
    <t>Assignment</t>
  </si>
  <si>
    <t>Added content about the front end pages I have completed for Milestone 1.</t>
  </si>
  <si>
    <t>Working on Milestone 1 Report</t>
  </si>
  <si>
    <t>Project Management and collaboration on GitHub</t>
  </si>
  <si>
    <t>The intended folder structure was successfully created after doing amendments on Git.</t>
  </si>
  <si>
    <t>I added the team reflection and problems section to Milestone 1 report and submitted it. Successfully hosted the backend server locally.</t>
  </si>
  <si>
    <t>Working on Milestone 1 Report. Did the setup for running the backend server and hosted the server locally. Had an internal meeting with backend.</t>
  </si>
  <si>
    <t>Re-structuring the folder structure of front-end in GitHub according to back-end team's advice. Had an internal meeting with backend.</t>
  </si>
  <si>
    <t>Completing and submitting Milestone 1 report on behalf of the team. Setting up the backend server was crucial for starting the integration with backend.</t>
  </si>
  <si>
    <t>Integrating LogIn and Sign-Up with backend is the first and crucial step for setting up the user authentication system.</t>
  </si>
  <si>
    <t>Created the User Profile Page and added API calls for LogIn and Sign Up. Attended lecture and workshop.</t>
  </si>
  <si>
    <t>The user profile page was created but had issues with integrating sign -up and login.</t>
  </si>
  <si>
    <t>Resolved merge conflicts and modified backend for login and sign-up integration including the data structure of the request body  in the backend, to accommodate additional information being sent in the request for sign up. Enhanced the appearance of User profile page.</t>
  </si>
  <si>
    <t>Sign-up and login integration between the front-end and back-end of a website ensures secure, validated user data handling, providing seamless user authentication and the user profile page enhances overall user experience.</t>
  </si>
  <si>
    <t>The integration of sign-up and login worked between frontend and backend.</t>
  </si>
  <si>
    <t>Modified the Information Page further with better design and styling. Had to modify the backend for another issue that came up with sign-up and login intgration. In the client meeting, demonstrated the modified information page, login, sign-up pages and the user profile page and the integration.</t>
  </si>
  <si>
    <t>The information page on our mental health website is a page included in our project plan and is crucial as it provides reliable informationa and helps users understand conditions, treatments, and coping strategies. The sign-up and login integration is also a crucial part of the project which the client had requested.</t>
  </si>
  <si>
    <t>The information page was modified to provide a better user experience. The sign-up and login integration was successful, where both types of users including mental health users and experts can login and sign-up successful. The client was happy with the progress that I demonstrated.</t>
  </si>
  <si>
    <t>May 6 (Week 9)</t>
  </si>
  <si>
    <t>Modifications to sign -up page - removal of gender attribute, upon feedback of client.</t>
  </si>
  <si>
    <t>Modified sign-up page as per client's requirements.</t>
  </si>
  <si>
    <t xml:space="preserve">Integration with backend for All Blog Posts (Main Blog) page, View a Single Blog page, and Create a Blog page.  Had to modify backend code as well.  </t>
  </si>
  <si>
    <t xml:space="preserve">The blog on WellSpace is important as it offers expert insights, and educational content, fostering community engagement, providing ongoing mental health support, and enhancing user knowledge and connection. It is one of the main features of WellSpace.  </t>
  </si>
  <si>
    <t xml:space="preserve">The blog's main page and its subpages were integrated successfully except for images (as the images could not be stored in the backend) and the name of the expert who wrote the blog article could not be retrieved from backend. Added a "Summary" section to the "View a Single Blog Post" page. </t>
  </si>
  <si>
    <t xml:space="preserve">As mentioned in the above tables, the sign-up page is a crucial page. </t>
  </si>
  <si>
    <t xml:space="preserve">Integration of the blog is a main part of the project as mentioned above - for that, discussions were taken place and debugging, testing and resolving errors were done. </t>
  </si>
  <si>
    <t>Resolved errors that occurred with blog integration, leading successful integration of the blog pages except for images.</t>
  </si>
  <si>
    <t>Added "IsPublished" parameter for blog posts to be recieved from front-end and changes were made from backend to retrieve isPublished parameter.</t>
  </si>
  <si>
    <t>When an expert (doctor) writes an article, then it gets saved in the database, but for it to appear in the list of blogs on main blog page, the parameters were adjusted.</t>
  </si>
  <si>
    <t>Had discussions with backend and the back-end team member pointed out that I should pass "blogId" instead of "doctorId". The problem with uploading images was discussed and the backend needed time to setup third party provider for that. Resolved errors that occured while integrating the blog. Attended the lecture and workshop and updated the team.</t>
  </si>
  <si>
    <t>The integration of blog was done and now clearly could be demonstrated.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</si>
</sst>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5" x14ac:knownFonts="1">
    <font>
      <sz val="12"/>
      <color theme="1"/>
      <name val="Calibri"/>
      <family val="2"/>
      <scheme val="minor"/>
    </font>
    <font>
      <b/>
      <sz val="15"/>
      <color theme="3"/>
      <name val="Calibri"/>
      <family val="2"/>
      <scheme val="minor"/>
    </font>
    <font>
      <b/>
      <sz val="12"/>
      <color theme="0"/>
      <name val="Calibri"/>
      <family val="2"/>
      <scheme val="minor"/>
    </font>
    <font>
      <b/>
      <sz val="14"/>
      <color theme="3"/>
      <name val="Calibri"/>
      <scheme val="minor"/>
    </font>
    <font>
      <sz val="8"/>
      <name val="Calibri"/>
      <family val="2"/>
      <scheme val="minor"/>
    </font>
  </fonts>
  <fills count="5">
    <fill>
      <patternFill patternType="none"/>
    </fill>
    <fill>
      <patternFill patternType="gray125"/>
    </fill>
    <fill>
      <patternFill patternType="solid">
        <fgColor theme="5"/>
        <bgColor theme="5"/>
      </patternFill>
    </fill>
    <fill>
      <patternFill patternType="solid">
        <fgColor theme="0"/>
        <bgColor theme="5" tint="0.79998168889431442"/>
      </patternFill>
    </fill>
    <fill>
      <patternFill patternType="solid">
        <fgColor theme="0"/>
        <bgColor indexed="64"/>
      </patternFill>
    </fill>
  </fills>
  <borders count="6">
    <border>
      <left/>
      <right/>
      <top/>
      <bottom/>
      <diagonal/>
    </border>
    <border>
      <left/>
      <right/>
      <top/>
      <bottom style="thick">
        <color theme="4"/>
      </bottom>
      <diagonal/>
    </border>
    <border>
      <left style="thin">
        <color theme="5" tint="0.39997558519241921"/>
      </left>
      <right/>
      <top style="thin">
        <color theme="5" tint="0.39997558519241921"/>
      </top>
      <bottom/>
      <diagonal/>
    </border>
    <border>
      <left/>
      <right/>
      <top style="thin">
        <color theme="5" tint="0.39997558519241921"/>
      </top>
      <bottom/>
      <diagonal/>
    </border>
    <border>
      <left style="thin">
        <color theme="5"/>
      </left>
      <right style="thin">
        <color theme="5"/>
      </right>
      <top style="thin">
        <color theme="5"/>
      </top>
      <bottom style="thin">
        <color theme="5"/>
      </bottom>
      <diagonal/>
    </border>
    <border>
      <left style="medium">
        <color theme="5"/>
      </left>
      <right style="medium">
        <color theme="5"/>
      </right>
      <top style="medium">
        <color theme="5"/>
      </top>
      <bottom style="medium">
        <color theme="5"/>
      </bottom>
      <diagonal/>
    </border>
  </borders>
  <cellStyleXfs count="2">
    <xf numFmtId="0" fontId="0" fillId="0" borderId="0"/>
    <xf numFmtId="0" fontId="1" fillId="0" borderId="1" applyNumberFormat="0" applyFill="0" applyAlignment="0" applyProtection="0"/>
  </cellStyleXfs>
  <cellXfs count="17">
    <xf numFmtId="0" fontId="0" fillId="0" borderId="0" xfId="0"/>
    <xf numFmtId="0" fontId="3" fillId="0" borderId="0" xfId="0" applyFont="1"/>
    <xf numFmtId="0" fontId="3" fillId="0" borderId="0" xfId="0" applyFont="1" applyAlignment="1">
      <alignment horizontal="right"/>
    </xf>
    <xf numFmtId="0" fontId="2" fillId="2" borderId="3" xfId="0" applyFont="1" applyFill="1" applyBorder="1" applyAlignment="1">
      <alignment horizontal="center" wrapText="1"/>
    </xf>
    <xf numFmtId="0" fontId="2" fillId="2" borderId="0" xfId="0" applyFont="1" applyFill="1" applyAlignment="1">
      <alignment horizontal="center" wrapText="1"/>
    </xf>
    <xf numFmtId="0" fontId="0" fillId="0" borderId="5" xfId="0" applyBorder="1"/>
    <xf numFmtId="0" fontId="0" fillId="0" borderId="0" xfId="0" applyAlignment="1">
      <alignment vertical="center"/>
    </xf>
    <xf numFmtId="0" fontId="0" fillId="4" borderId="0" xfId="0" applyFill="1" applyAlignment="1">
      <alignment vertical="center"/>
    </xf>
    <xf numFmtId="49" fontId="0" fillId="4" borderId="4" xfId="0" applyNumberFormat="1" applyFill="1" applyBorder="1" applyAlignment="1">
      <alignment horizontal="center" vertical="center" wrapText="1"/>
    </xf>
    <xf numFmtId="0" fontId="2" fillId="2" borderId="2" xfId="0" applyFont="1" applyFill="1" applyBorder="1" applyAlignment="1">
      <alignment horizontal="center" wrapText="1"/>
    </xf>
    <xf numFmtId="0" fontId="0" fillId="3" borderId="4" xfId="0" applyFill="1" applyBorder="1" applyAlignment="1">
      <alignment horizontal="center" vertical="center" wrapText="1"/>
    </xf>
    <xf numFmtId="16" fontId="0" fillId="4" borderId="4" xfId="0" applyNumberFormat="1" applyFill="1" applyBorder="1" applyAlignment="1">
      <alignment horizontal="center" vertical="center" wrapText="1"/>
    </xf>
    <xf numFmtId="164" fontId="0" fillId="3" borderId="4" xfId="0" applyNumberFormat="1" applyFill="1" applyBorder="1" applyAlignment="1">
      <alignment horizontal="center" vertical="center" wrapText="1"/>
    </xf>
    <xf numFmtId="0" fontId="0" fillId="4" borderId="4" xfId="0" applyFill="1" applyBorder="1" applyAlignment="1">
      <alignment horizontal="center" vertical="center" wrapText="1"/>
    </xf>
    <xf numFmtId="164" fontId="0" fillId="4" borderId="4" xfId="0" applyNumberFormat="1" applyFill="1" applyBorder="1" applyAlignment="1">
      <alignment horizontal="center" vertical="center" wrapText="1"/>
    </xf>
    <xf numFmtId="16" fontId="0" fillId="0" borderId="0" xfId="0" applyNumberFormat="1"/>
    <xf numFmtId="0" fontId="1" fillId="0" borderId="1" xfId="1" applyAlignment="1">
      <alignment horizontal="left"/>
    </xf>
  </cellXfs>
  <cellStyles count="2">
    <cellStyle name="Heading 1" xfId="1" builtinId="16"/>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AW132"/>
  <sheetViews>
    <sheetView tabSelected="1" topLeftCell="A118" zoomScale="102" zoomScaleNormal="55" workbookViewId="0">
      <selection activeCell="A122" sqref="A122:H122"/>
    </sheetView>
  </sheetViews>
  <sheetFormatPr defaultColWidth="10.6640625" defaultRowHeight="15.5" x14ac:dyDescent="0.35"/>
  <cols>
    <col min="1" max="1" width="12.5" customWidth="1"/>
    <col min="2" max="2" width="10.5" customWidth="1"/>
    <col min="3" max="3" width="11.33203125" bestFit="1" customWidth="1"/>
    <col min="4" max="4" width="14.83203125" customWidth="1"/>
    <col min="5" max="5" width="8.5" customWidth="1"/>
    <col min="6" max="6" width="25.08203125" customWidth="1"/>
    <col min="7" max="7" width="61.5" customWidth="1"/>
    <col min="8" max="8" width="60.33203125" customWidth="1"/>
    <col min="15" max="49" width="10.83203125"/>
  </cols>
  <sheetData>
    <row r="2" spans="1:49" ht="20" thickBot="1" x14ac:dyDescent="0.5">
      <c r="A2" s="16" t="s">
        <v>0</v>
      </c>
      <c r="B2" s="16"/>
      <c r="C2" s="16"/>
      <c r="D2" s="16"/>
      <c r="E2" s="16"/>
      <c r="F2" s="16"/>
      <c r="G2" s="16"/>
      <c r="H2" s="16"/>
    </row>
    <row r="3" spans="1:49" ht="30" customHeight="1" thickTop="1" x14ac:dyDescent="0.45">
      <c r="A3" s="1" t="s">
        <v>1</v>
      </c>
      <c r="B3" t="s">
        <v>18</v>
      </c>
      <c r="C3" s="1" t="s">
        <v>2</v>
      </c>
      <c r="D3" t="s">
        <v>19</v>
      </c>
      <c r="E3" t="s">
        <v>20</v>
      </c>
      <c r="F3" t="s">
        <v>21</v>
      </c>
      <c r="G3" s="2" t="s">
        <v>3</v>
      </c>
      <c r="H3" t="s">
        <v>22</v>
      </c>
    </row>
    <row r="5" spans="1:49" ht="31" x14ac:dyDescent="0.35">
      <c r="A5" s="9" t="s">
        <v>4</v>
      </c>
      <c r="B5" s="3" t="s">
        <v>5</v>
      </c>
      <c r="C5" s="3" t="s">
        <v>6</v>
      </c>
      <c r="D5" s="3" t="s">
        <v>7</v>
      </c>
      <c r="E5" s="4" t="s">
        <v>8</v>
      </c>
      <c r="F5" s="4" t="s">
        <v>9</v>
      </c>
      <c r="G5" s="4" t="s">
        <v>34</v>
      </c>
      <c r="H5" s="4" t="s">
        <v>10</v>
      </c>
    </row>
    <row r="6" spans="1:49" s="7" customFormat="1" ht="52" customHeight="1" x14ac:dyDescent="0.35">
      <c r="A6" s="10" t="s">
        <v>11</v>
      </c>
      <c r="B6" s="11">
        <v>45348</v>
      </c>
      <c r="C6" s="12">
        <v>0.58333333333333337</v>
      </c>
      <c r="D6" s="12">
        <v>0.70833333333333337</v>
      </c>
      <c r="E6" s="13">
        <v>3</v>
      </c>
      <c r="F6" s="8" t="s">
        <v>26</v>
      </c>
      <c r="G6" s="8" t="s">
        <v>23</v>
      </c>
      <c r="H6" s="13" t="s">
        <v>24</v>
      </c>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row>
    <row r="7" spans="1:49" s="7" customFormat="1" ht="34" customHeight="1" x14ac:dyDescent="0.35">
      <c r="A7" s="13" t="s">
        <v>12</v>
      </c>
      <c r="B7" s="11">
        <v>45349</v>
      </c>
      <c r="C7" s="14"/>
      <c r="D7" s="14"/>
      <c r="E7" s="13">
        <v>0</v>
      </c>
      <c r="F7" s="8" t="s">
        <v>25</v>
      </c>
      <c r="G7" s="8" t="s">
        <v>25</v>
      </c>
      <c r="H7" s="13" t="s">
        <v>25</v>
      </c>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row>
    <row r="8" spans="1:49" s="7" customFormat="1" ht="77.5" x14ac:dyDescent="0.35">
      <c r="A8" s="10" t="s">
        <v>13</v>
      </c>
      <c r="B8" s="11">
        <v>45350</v>
      </c>
      <c r="C8" s="12">
        <v>0.41666666666666669</v>
      </c>
      <c r="D8" s="12">
        <v>0.79166666666666663</v>
      </c>
      <c r="E8" s="13">
        <v>9</v>
      </c>
      <c r="F8" s="8" t="s">
        <v>27</v>
      </c>
      <c r="G8" s="8" t="s">
        <v>28</v>
      </c>
      <c r="H8" s="13" t="s">
        <v>29</v>
      </c>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c r="AO8" s="6"/>
      <c r="AP8" s="6"/>
      <c r="AQ8" s="6"/>
      <c r="AR8" s="6"/>
      <c r="AS8" s="6"/>
      <c r="AT8" s="6"/>
      <c r="AU8" s="6"/>
      <c r="AV8" s="6"/>
      <c r="AW8" s="6"/>
    </row>
    <row r="9" spans="1:49" s="7" customFormat="1" ht="54" customHeight="1" x14ac:dyDescent="0.35">
      <c r="A9" s="13" t="s">
        <v>14</v>
      </c>
      <c r="B9" s="11">
        <v>45351</v>
      </c>
      <c r="C9" s="14">
        <v>0.41666666666666669</v>
      </c>
      <c r="D9" s="14">
        <v>0.45833333333333331</v>
      </c>
      <c r="E9" s="13">
        <v>1</v>
      </c>
      <c r="F9" s="8" t="s">
        <v>30</v>
      </c>
      <c r="G9" s="8" t="s">
        <v>31</v>
      </c>
      <c r="H9" s="13" t="s">
        <v>32</v>
      </c>
      <c r="I9" s="6"/>
      <c r="J9" s="6"/>
      <c r="K9" s="6"/>
      <c r="L9" s="6"/>
      <c r="M9" s="6"/>
      <c r="N9" s="6"/>
      <c r="O9" s="6"/>
      <c r="P9" s="6"/>
      <c r="Q9" s="6"/>
      <c r="R9" s="6"/>
      <c r="S9" s="6"/>
      <c r="T9" s="6"/>
      <c r="U9" s="6"/>
      <c r="V9" s="6"/>
      <c r="W9" s="6"/>
      <c r="X9" s="6"/>
      <c r="Y9" s="6"/>
      <c r="Z9" s="6"/>
      <c r="AA9" s="6"/>
      <c r="AB9" s="6"/>
      <c r="AC9" s="6"/>
      <c r="AD9" s="6"/>
      <c r="AE9" s="6"/>
      <c r="AF9" s="6"/>
      <c r="AG9" s="6"/>
      <c r="AH9" s="6"/>
      <c r="AI9" s="6"/>
      <c r="AJ9" s="6"/>
      <c r="AK9" s="6"/>
      <c r="AL9" s="6"/>
      <c r="AM9" s="6"/>
      <c r="AN9" s="6"/>
      <c r="AO9" s="6"/>
      <c r="AP9" s="6"/>
      <c r="AQ9" s="6"/>
      <c r="AR9" s="6"/>
      <c r="AS9" s="6"/>
      <c r="AT9" s="6"/>
      <c r="AU9" s="6"/>
      <c r="AV9" s="6"/>
      <c r="AW9" s="6"/>
    </row>
    <row r="10" spans="1:49" s="7" customFormat="1" ht="34" customHeight="1" x14ac:dyDescent="0.35">
      <c r="A10" s="10" t="s">
        <v>15</v>
      </c>
      <c r="B10" s="11">
        <v>45352</v>
      </c>
      <c r="C10" s="12"/>
      <c r="D10" s="12"/>
      <c r="E10" s="13"/>
      <c r="F10" s="8"/>
      <c r="G10" s="8"/>
      <c r="H10" s="13"/>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row>
    <row r="11" spans="1:49" s="7" customFormat="1" ht="34" customHeight="1" thickBot="1" x14ac:dyDescent="0.4">
      <c r="A11" s="13" t="s">
        <v>16</v>
      </c>
      <c r="B11" s="11">
        <v>45353</v>
      </c>
      <c r="C11" s="14"/>
      <c r="D11" s="14"/>
      <c r="E11" s="13"/>
      <c r="F11" s="8"/>
      <c r="G11" s="8"/>
      <c r="H11" s="13"/>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row>
    <row r="12" spans="1:49" ht="16" thickBot="1" x14ac:dyDescent="0.4">
      <c r="D12" s="4" t="s">
        <v>17</v>
      </c>
      <c r="E12" s="5">
        <f>SUM(E6:E11)</f>
        <v>13</v>
      </c>
    </row>
    <row r="14" spans="1:49" ht="20" thickBot="1" x14ac:dyDescent="0.5">
      <c r="A14" s="16" t="s">
        <v>0</v>
      </c>
      <c r="B14" s="16"/>
      <c r="C14" s="16"/>
      <c r="D14" s="16"/>
      <c r="E14" s="16"/>
      <c r="F14" s="16"/>
      <c r="G14" s="16"/>
      <c r="H14" s="16"/>
    </row>
    <row r="15" spans="1:49" ht="19" thickTop="1" x14ac:dyDescent="0.45">
      <c r="A15" s="1" t="s">
        <v>1</v>
      </c>
      <c r="B15" t="s">
        <v>18</v>
      </c>
      <c r="C15" s="1" t="s">
        <v>2</v>
      </c>
      <c r="D15" t="s">
        <v>19</v>
      </c>
      <c r="E15" t="s">
        <v>20</v>
      </c>
      <c r="F15" t="s">
        <v>21</v>
      </c>
      <c r="G15" s="2" t="s">
        <v>3</v>
      </c>
      <c r="H15" t="s">
        <v>33</v>
      </c>
    </row>
    <row r="17" spans="1:8" ht="31" x14ac:dyDescent="0.35">
      <c r="A17" s="9" t="s">
        <v>4</v>
      </c>
      <c r="B17" s="3" t="s">
        <v>5</v>
      </c>
      <c r="C17" s="3" t="s">
        <v>6</v>
      </c>
      <c r="D17" s="3" t="s">
        <v>7</v>
      </c>
      <c r="E17" s="4" t="s">
        <v>8</v>
      </c>
      <c r="F17" s="4" t="s">
        <v>9</v>
      </c>
      <c r="G17" s="4" t="s">
        <v>34</v>
      </c>
      <c r="H17" s="4" t="s">
        <v>10</v>
      </c>
    </row>
    <row r="18" spans="1:8" ht="77.5" x14ac:dyDescent="0.35">
      <c r="A18" s="10" t="s">
        <v>11</v>
      </c>
      <c r="B18" s="11">
        <v>45355</v>
      </c>
      <c r="C18" s="12">
        <v>0.58333333333333337</v>
      </c>
      <c r="D18" s="12">
        <v>0.66666666666666663</v>
      </c>
      <c r="E18" s="13">
        <v>2</v>
      </c>
      <c r="F18" s="8" t="s">
        <v>37</v>
      </c>
      <c r="G18" s="8" t="s">
        <v>35</v>
      </c>
      <c r="H18" s="13" t="s">
        <v>36</v>
      </c>
    </row>
    <row r="19" spans="1:8" ht="95.5" customHeight="1" x14ac:dyDescent="0.35">
      <c r="A19" s="13" t="s">
        <v>12</v>
      </c>
      <c r="B19" s="11">
        <v>45356</v>
      </c>
      <c r="C19" s="14">
        <v>0.58333333333333337</v>
      </c>
      <c r="D19" s="14">
        <v>0.70833333333333337</v>
      </c>
      <c r="E19" s="13">
        <v>3</v>
      </c>
      <c r="F19" s="8" t="s">
        <v>39</v>
      </c>
      <c r="G19" s="8" t="s">
        <v>38</v>
      </c>
      <c r="H19" s="13" t="s">
        <v>46</v>
      </c>
    </row>
    <row r="20" spans="1:8" ht="77.5" x14ac:dyDescent="0.35">
      <c r="A20" s="10" t="s">
        <v>13</v>
      </c>
      <c r="B20" s="11">
        <v>45357</v>
      </c>
      <c r="C20" s="12">
        <v>0.41666666666666669</v>
      </c>
      <c r="D20" s="12">
        <v>0.75</v>
      </c>
      <c r="E20" s="13">
        <v>8</v>
      </c>
      <c r="F20" s="8" t="s">
        <v>40</v>
      </c>
      <c r="G20" s="8" t="s">
        <v>41</v>
      </c>
      <c r="H20" s="13" t="s">
        <v>42</v>
      </c>
    </row>
    <row r="21" spans="1:8" ht="31" x14ac:dyDescent="0.35">
      <c r="A21" s="13" t="s">
        <v>14</v>
      </c>
      <c r="B21" s="11">
        <v>45358</v>
      </c>
      <c r="C21" s="14">
        <v>0.41666666666666669</v>
      </c>
      <c r="D21" s="14">
        <v>0.54166666666666663</v>
      </c>
      <c r="E21" s="13">
        <v>3</v>
      </c>
      <c r="F21" s="8" t="s">
        <v>43</v>
      </c>
      <c r="G21" s="8" t="s">
        <v>45</v>
      </c>
      <c r="H21" s="13" t="s">
        <v>44</v>
      </c>
    </row>
    <row r="22" spans="1:8" ht="46.5" x14ac:dyDescent="0.35">
      <c r="A22" s="10" t="s">
        <v>15</v>
      </c>
      <c r="B22" s="11">
        <v>45359</v>
      </c>
      <c r="C22" s="12">
        <v>0.41666666666666669</v>
      </c>
      <c r="D22" s="12">
        <v>0.5</v>
      </c>
      <c r="E22" s="13">
        <v>2</v>
      </c>
      <c r="F22" s="8" t="s">
        <v>47</v>
      </c>
      <c r="G22" s="8" t="s">
        <v>48</v>
      </c>
      <c r="H22" s="13" t="s">
        <v>49</v>
      </c>
    </row>
    <row r="23" spans="1:8" ht="47" thickBot="1" x14ac:dyDescent="0.4">
      <c r="A23" s="13" t="s">
        <v>16</v>
      </c>
      <c r="B23" s="11">
        <v>45360</v>
      </c>
      <c r="C23" s="14">
        <v>0.45833333333333331</v>
      </c>
      <c r="D23" s="14">
        <v>0.70833333333333337</v>
      </c>
      <c r="E23" s="13">
        <v>6</v>
      </c>
      <c r="F23" s="8" t="s">
        <v>50</v>
      </c>
      <c r="G23" s="8" t="s">
        <v>51</v>
      </c>
      <c r="H23" s="13" t="s">
        <v>52</v>
      </c>
    </row>
    <row r="24" spans="1:8" ht="16" thickBot="1" x14ac:dyDescent="0.4">
      <c r="D24" s="4" t="s">
        <v>17</v>
      </c>
      <c r="E24" s="5">
        <f>SUM(E18:E23)</f>
        <v>24</v>
      </c>
    </row>
    <row r="26" spans="1:8" ht="20" thickBot="1" x14ac:dyDescent="0.5">
      <c r="A26" s="16" t="s">
        <v>0</v>
      </c>
      <c r="B26" s="16"/>
      <c r="C26" s="16"/>
      <c r="D26" s="16"/>
      <c r="E26" s="16"/>
      <c r="F26" s="16"/>
      <c r="G26" s="16"/>
      <c r="H26" s="16"/>
    </row>
    <row r="27" spans="1:8" ht="19" thickTop="1" x14ac:dyDescent="0.45">
      <c r="A27" s="1" t="s">
        <v>1</v>
      </c>
      <c r="B27" t="s">
        <v>18</v>
      </c>
      <c r="C27" s="1" t="s">
        <v>2</v>
      </c>
      <c r="D27" t="s">
        <v>19</v>
      </c>
      <c r="E27" t="s">
        <v>20</v>
      </c>
      <c r="F27" t="s">
        <v>21</v>
      </c>
      <c r="G27" s="2" t="s">
        <v>3</v>
      </c>
      <c r="H27" t="s">
        <v>53</v>
      </c>
    </row>
    <row r="29" spans="1:8" ht="31" x14ac:dyDescent="0.35">
      <c r="A29" s="9" t="s">
        <v>4</v>
      </c>
      <c r="B29" s="3" t="s">
        <v>5</v>
      </c>
      <c r="C29" s="3" t="s">
        <v>6</v>
      </c>
      <c r="D29" s="3" t="s">
        <v>7</v>
      </c>
      <c r="E29" s="4" t="s">
        <v>8</v>
      </c>
      <c r="F29" s="4" t="s">
        <v>9</v>
      </c>
      <c r="G29" s="4" t="s">
        <v>34</v>
      </c>
      <c r="H29" s="4" t="s">
        <v>10</v>
      </c>
    </row>
    <row r="30" spans="1:8" ht="31" x14ac:dyDescent="0.35">
      <c r="A30" s="10" t="s">
        <v>11</v>
      </c>
      <c r="B30" s="11">
        <v>45362</v>
      </c>
      <c r="C30" s="12">
        <v>0.375</v>
      </c>
      <c r="D30" s="12">
        <v>0.41666666666666669</v>
      </c>
      <c r="E30" s="13">
        <v>1</v>
      </c>
      <c r="F30" s="8" t="s">
        <v>54</v>
      </c>
      <c r="G30" s="8" t="s">
        <v>55</v>
      </c>
      <c r="H30" s="13" t="s">
        <v>56</v>
      </c>
    </row>
    <row r="31" spans="1:8" ht="82" customHeight="1" x14ac:dyDescent="0.35">
      <c r="A31" s="13" t="s">
        <v>12</v>
      </c>
      <c r="B31" s="11">
        <v>45363</v>
      </c>
      <c r="C31" s="14">
        <v>0.58333333333333337</v>
      </c>
      <c r="D31" s="14">
        <v>0.66666666666666663</v>
      </c>
      <c r="E31" s="13">
        <v>2</v>
      </c>
      <c r="F31" s="8" t="s">
        <v>57</v>
      </c>
      <c r="G31" s="8" t="s">
        <v>58</v>
      </c>
      <c r="H31" s="13" t="s">
        <v>59</v>
      </c>
    </row>
    <row r="32" spans="1:8" ht="139.5" x14ac:dyDescent="0.35">
      <c r="A32" s="10" t="s">
        <v>13</v>
      </c>
      <c r="B32" s="11">
        <v>45364</v>
      </c>
      <c r="C32" s="12">
        <v>0.41666666666666669</v>
      </c>
      <c r="D32" s="12">
        <v>0.75</v>
      </c>
      <c r="E32" s="13">
        <v>8</v>
      </c>
      <c r="F32" s="8" t="s">
        <v>68</v>
      </c>
      <c r="G32" s="8" t="s">
        <v>60</v>
      </c>
      <c r="H32" s="13" t="s">
        <v>61</v>
      </c>
    </row>
    <row r="33" spans="1:8" ht="77.5" x14ac:dyDescent="0.35">
      <c r="A33" s="13" t="s">
        <v>14</v>
      </c>
      <c r="B33" s="11">
        <v>45365</v>
      </c>
      <c r="C33" s="14">
        <v>0.41666666666666669</v>
      </c>
      <c r="D33" s="14">
        <v>0.58333333333333337</v>
      </c>
      <c r="E33" s="13">
        <v>4</v>
      </c>
      <c r="F33" s="8" t="s">
        <v>62</v>
      </c>
      <c r="G33" s="8" t="s">
        <v>63</v>
      </c>
      <c r="H33" s="13" t="s">
        <v>64</v>
      </c>
    </row>
    <row r="34" spans="1:8" ht="62" x14ac:dyDescent="0.35">
      <c r="A34" s="10" t="s">
        <v>15</v>
      </c>
      <c r="B34" s="11">
        <v>45366</v>
      </c>
      <c r="C34" s="12">
        <v>0.41666666666666669</v>
      </c>
      <c r="D34" s="12">
        <v>0.5</v>
      </c>
      <c r="E34" s="13">
        <v>2</v>
      </c>
      <c r="F34" s="8" t="s">
        <v>65</v>
      </c>
      <c r="G34" s="8" t="s">
        <v>66</v>
      </c>
      <c r="H34" s="13" t="s">
        <v>67</v>
      </c>
    </row>
    <row r="35" spans="1:8" ht="93.5" thickBot="1" x14ac:dyDescent="0.4">
      <c r="A35" s="13" t="s">
        <v>16</v>
      </c>
      <c r="B35" s="11">
        <v>45367</v>
      </c>
      <c r="C35" s="14">
        <v>0.41666666666666669</v>
      </c>
      <c r="D35" s="14">
        <v>0.75</v>
      </c>
      <c r="E35" s="13">
        <v>8</v>
      </c>
      <c r="F35" s="8" t="s">
        <v>69</v>
      </c>
      <c r="G35" s="8" t="s">
        <v>70</v>
      </c>
      <c r="H35" s="13" t="s">
        <v>71</v>
      </c>
    </row>
    <row r="36" spans="1:8" ht="16" thickBot="1" x14ac:dyDescent="0.4">
      <c r="D36" s="4" t="s">
        <v>17</v>
      </c>
      <c r="E36" s="5">
        <f>SUM(E30:E35)</f>
        <v>25</v>
      </c>
    </row>
    <row r="38" spans="1:8" ht="20" thickBot="1" x14ac:dyDescent="0.5">
      <c r="A38" s="16" t="s">
        <v>0</v>
      </c>
      <c r="B38" s="16"/>
      <c r="C38" s="16"/>
      <c r="D38" s="16"/>
      <c r="E38" s="16"/>
      <c r="F38" s="16"/>
      <c r="G38" s="16"/>
      <c r="H38" s="16"/>
    </row>
    <row r="39" spans="1:8" ht="19" thickTop="1" x14ac:dyDescent="0.45">
      <c r="A39" s="1" t="s">
        <v>1</v>
      </c>
      <c r="B39" t="s">
        <v>18</v>
      </c>
      <c r="C39" s="1" t="s">
        <v>2</v>
      </c>
      <c r="D39" t="s">
        <v>19</v>
      </c>
      <c r="E39" t="s">
        <v>20</v>
      </c>
      <c r="F39" t="s">
        <v>21</v>
      </c>
      <c r="G39" s="2" t="s">
        <v>3</v>
      </c>
      <c r="H39" t="s">
        <v>72</v>
      </c>
    </row>
    <row r="41" spans="1:8" ht="31" x14ac:dyDescent="0.35">
      <c r="A41" s="9" t="s">
        <v>4</v>
      </c>
      <c r="B41" s="3" t="s">
        <v>5</v>
      </c>
      <c r="C41" s="3" t="s">
        <v>6</v>
      </c>
      <c r="D41" s="3" t="s">
        <v>7</v>
      </c>
      <c r="E41" s="4" t="s">
        <v>8</v>
      </c>
      <c r="F41" s="4" t="s">
        <v>9</v>
      </c>
      <c r="G41" s="4" t="s">
        <v>34</v>
      </c>
      <c r="H41" s="4" t="s">
        <v>10</v>
      </c>
    </row>
    <row r="42" spans="1:8" ht="31" x14ac:dyDescent="0.35">
      <c r="A42" s="10" t="s">
        <v>11</v>
      </c>
      <c r="B42" s="11">
        <v>45369</v>
      </c>
      <c r="C42" s="12">
        <v>0.375</v>
      </c>
      <c r="D42" s="12">
        <v>0.5</v>
      </c>
      <c r="E42" s="13">
        <v>3</v>
      </c>
      <c r="F42" s="8" t="s">
        <v>79</v>
      </c>
      <c r="G42" s="8" t="s">
        <v>80</v>
      </c>
      <c r="H42" s="13" t="s">
        <v>81</v>
      </c>
    </row>
    <row r="43" spans="1:8" ht="46.5" x14ac:dyDescent="0.35">
      <c r="A43" s="13" t="s">
        <v>12</v>
      </c>
      <c r="B43" s="11">
        <v>45370</v>
      </c>
      <c r="C43" s="14">
        <v>0.70833333333333337</v>
      </c>
      <c r="D43" s="14">
        <v>0.95833333333333337</v>
      </c>
      <c r="E43" s="13">
        <v>6</v>
      </c>
      <c r="F43" s="8" t="s">
        <v>73</v>
      </c>
      <c r="G43" s="8" t="s">
        <v>74</v>
      </c>
      <c r="H43" s="13" t="s">
        <v>75</v>
      </c>
    </row>
    <row r="44" spans="1:8" ht="139.5" x14ac:dyDescent="0.35">
      <c r="A44" s="10" t="s">
        <v>13</v>
      </c>
      <c r="B44" s="11">
        <v>45371</v>
      </c>
      <c r="C44" s="12">
        <v>0.41666666666666669</v>
      </c>
      <c r="D44" s="12">
        <v>0.75</v>
      </c>
      <c r="E44" s="13">
        <v>8</v>
      </c>
      <c r="F44" s="8" t="s">
        <v>76</v>
      </c>
      <c r="G44" s="8" t="s">
        <v>77</v>
      </c>
      <c r="H44" s="13" t="s">
        <v>78</v>
      </c>
    </row>
    <row r="45" spans="1:8" ht="31" x14ac:dyDescent="0.35">
      <c r="A45" s="13" t="s">
        <v>14</v>
      </c>
      <c r="B45" s="11">
        <v>45372</v>
      </c>
      <c r="C45" s="14">
        <v>0.41666666666666669</v>
      </c>
      <c r="D45" s="14">
        <v>0.58333333333333337</v>
      </c>
      <c r="E45" s="13">
        <v>4</v>
      </c>
      <c r="F45" s="8" t="s">
        <v>82</v>
      </c>
      <c r="G45" s="8" t="s">
        <v>83</v>
      </c>
      <c r="H45" s="13" t="s">
        <v>84</v>
      </c>
    </row>
    <row r="46" spans="1:8" ht="46.5" x14ac:dyDescent="0.35">
      <c r="A46" s="10" t="s">
        <v>15</v>
      </c>
      <c r="B46" s="11">
        <v>45373</v>
      </c>
      <c r="C46" s="12">
        <v>0.41666666666666669</v>
      </c>
      <c r="D46" s="12">
        <v>0.45833333333333331</v>
      </c>
      <c r="E46" s="13">
        <v>1</v>
      </c>
      <c r="F46" s="8" t="s">
        <v>85</v>
      </c>
      <c r="G46" s="8" t="s">
        <v>87</v>
      </c>
      <c r="H46" s="13" t="s">
        <v>86</v>
      </c>
    </row>
    <row r="47" spans="1:8" ht="47" thickBot="1" x14ac:dyDescent="0.4">
      <c r="A47" s="13" t="s">
        <v>16</v>
      </c>
      <c r="B47" s="11">
        <v>45374</v>
      </c>
      <c r="C47" s="14">
        <v>0.41666666666666669</v>
      </c>
      <c r="D47" s="14">
        <v>0.58333333333333337</v>
      </c>
      <c r="E47" s="13">
        <v>4</v>
      </c>
      <c r="F47" s="8" t="s">
        <v>88</v>
      </c>
      <c r="G47" s="8" t="s">
        <v>90</v>
      </c>
      <c r="H47" s="13" t="s">
        <v>89</v>
      </c>
    </row>
    <row r="48" spans="1:8" ht="16" thickBot="1" x14ac:dyDescent="0.4">
      <c r="D48" s="4" t="s">
        <v>17</v>
      </c>
      <c r="E48" s="5">
        <f>SUM(E42:E47)</f>
        <v>26</v>
      </c>
    </row>
    <row r="50" spans="1:8" ht="20" thickBot="1" x14ac:dyDescent="0.5">
      <c r="A50" s="16" t="s">
        <v>0</v>
      </c>
      <c r="B50" s="16"/>
      <c r="C50" s="16"/>
      <c r="D50" s="16"/>
      <c r="E50" s="16"/>
      <c r="F50" s="16"/>
      <c r="G50" s="16"/>
      <c r="H50" s="16"/>
    </row>
    <row r="51" spans="1:8" ht="19" thickTop="1" x14ac:dyDescent="0.45">
      <c r="A51" s="1" t="s">
        <v>1</v>
      </c>
      <c r="B51" t="s">
        <v>18</v>
      </c>
      <c r="C51" s="1" t="s">
        <v>2</v>
      </c>
      <c r="D51" t="s">
        <v>19</v>
      </c>
      <c r="E51" t="s">
        <v>20</v>
      </c>
      <c r="F51" t="s">
        <v>21</v>
      </c>
      <c r="G51" s="2" t="s">
        <v>3</v>
      </c>
      <c r="H51" t="s">
        <v>91</v>
      </c>
    </row>
    <row r="53" spans="1:8" ht="31" x14ac:dyDescent="0.35">
      <c r="A53" s="9" t="s">
        <v>4</v>
      </c>
      <c r="B53" s="3" t="s">
        <v>5</v>
      </c>
      <c r="C53" s="3" t="s">
        <v>6</v>
      </c>
      <c r="D53" s="3" t="s">
        <v>7</v>
      </c>
      <c r="E53" s="4" t="s">
        <v>8</v>
      </c>
      <c r="F53" s="4" t="s">
        <v>9</v>
      </c>
      <c r="G53" s="4" t="s">
        <v>34</v>
      </c>
      <c r="H53" s="4" t="s">
        <v>10</v>
      </c>
    </row>
    <row r="54" spans="1:8" ht="91" customHeight="1" x14ac:dyDescent="0.35">
      <c r="A54" s="10" t="s">
        <v>11</v>
      </c>
      <c r="B54" s="11">
        <v>45376</v>
      </c>
      <c r="C54" s="12">
        <v>0.33333333333333331</v>
      </c>
      <c r="D54" s="12">
        <v>0.5</v>
      </c>
      <c r="E54" s="13">
        <v>4</v>
      </c>
      <c r="F54" s="8" t="s">
        <v>92</v>
      </c>
      <c r="G54" s="8" t="s">
        <v>94</v>
      </c>
      <c r="H54" s="13" t="s">
        <v>93</v>
      </c>
    </row>
    <row r="55" spans="1:8" ht="46.5" x14ac:dyDescent="0.35">
      <c r="A55" s="13" t="s">
        <v>12</v>
      </c>
      <c r="B55" s="11">
        <v>45377</v>
      </c>
      <c r="C55" s="14">
        <v>0.70833333333333337</v>
      </c>
      <c r="D55" s="14">
        <v>0.95833333333333337</v>
      </c>
      <c r="E55" s="13">
        <v>6</v>
      </c>
      <c r="F55" s="8" t="s">
        <v>95</v>
      </c>
      <c r="G55" s="8" t="s">
        <v>96</v>
      </c>
      <c r="H55" s="13" t="s">
        <v>97</v>
      </c>
    </row>
    <row r="56" spans="1:8" ht="77.5" x14ac:dyDescent="0.35">
      <c r="A56" s="10" t="s">
        <v>13</v>
      </c>
      <c r="B56" s="11">
        <v>45378</v>
      </c>
      <c r="C56" s="12">
        <v>0.5</v>
      </c>
      <c r="D56" s="12">
        <v>0.70833333333333337</v>
      </c>
      <c r="E56" s="13">
        <v>5</v>
      </c>
      <c r="F56" s="8" t="s">
        <v>99</v>
      </c>
      <c r="G56" s="8" t="s">
        <v>98</v>
      </c>
      <c r="H56" s="13" t="s">
        <v>101</v>
      </c>
    </row>
    <row r="57" spans="1:8" ht="31" x14ac:dyDescent="0.35">
      <c r="A57" s="13" t="s">
        <v>14</v>
      </c>
      <c r="B57" s="11">
        <v>45379</v>
      </c>
      <c r="C57" s="14">
        <v>0.41666666666666669</v>
      </c>
      <c r="D57" s="14">
        <v>0.58333333333333337</v>
      </c>
      <c r="E57" s="13">
        <v>4</v>
      </c>
      <c r="F57" s="8" t="s">
        <v>100</v>
      </c>
      <c r="G57" s="8" t="s">
        <v>98</v>
      </c>
      <c r="H57" s="13" t="s">
        <v>101</v>
      </c>
    </row>
    <row r="58" spans="1:8" ht="62" x14ac:dyDescent="0.35">
      <c r="A58" s="10" t="s">
        <v>15</v>
      </c>
      <c r="B58" s="11">
        <v>45380</v>
      </c>
      <c r="C58" s="12">
        <v>0.41666666666666669</v>
      </c>
      <c r="D58" s="12">
        <v>0.45833333333333331</v>
      </c>
      <c r="E58" s="13">
        <v>1</v>
      </c>
      <c r="F58" s="8" t="s">
        <v>102</v>
      </c>
      <c r="G58" s="8" t="s">
        <v>103</v>
      </c>
      <c r="H58" s="8" t="s">
        <v>103</v>
      </c>
    </row>
    <row r="59" spans="1:8" ht="47" thickBot="1" x14ac:dyDescent="0.4">
      <c r="A59" s="13" t="s">
        <v>16</v>
      </c>
      <c r="B59" s="11">
        <v>45381</v>
      </c>
      <c r="C59" s="14">
        <v>0.41666666666666669</v>
      </c>
      <c r="D59" s="14">
        <v>0.5</v>
      </c>
      <c r="E59" s="13">
        <v>4</v>
      </c>
      <c r="F59" s="8" t="s">
        <v>121</v>
      </c>
      <c r="G59" s="8" t="s">
        <v>119</v>
      </c>
      <c r="H59" s="13" t="s">
        <v>120</v>
      </c>
    </row>
    <row r="60" spans="1:8" ht="16" thickBot="1" x14ac:dyDescent="0.4">
      <c r="D60" s="4" t="s">
        <v>17</v>
      </c>
      <c r="E60" s="5">
        <f>SUM(E54:E59)</f>
        <v>24</v>
      </c>
    </row>
    <row r="62" spans="1:8" ht="20" thickBot="1" x14ac:dyDescent="0.5">
      <c r="A62" s="16" t="s">
        <v>0</v>
      </c>
      <c r="B62" s="16"/>
      <c r="C62" s="16"/>
      <c r="D62" s="16"/>
      <c r="E62" s="16"/>
      <c r="F62" s="16"/>
      <c r="G62" s="16"/>
      <c r="H62" s="16"/>
    </row>
    <row r="63" spans="1:8" ht="19" thickTop="1" x14ac:dyDescent="0.45">
      <c r="A63" s="1" t="s">
        <v>1</v>
      </c>
      <c r="B63" t="s">
        <v>18</v>
      </c>
      <c r="C63" s="1" t="s">
        <v>2</v>
      </c>
      <c r="D63" t="s">
        <v>19</v>
      </c>
      <c r="E63" t="s">
        <v>20</v>
      </c>
      <c r="F63" t="s">
        <v>21</v>
      </c>
      <c r="G63" s="2" t="s">
        <v>3</v>
      </c>
      <c r="H63" t="s">
        <v>104</v>
      </c>
    </row>
    <row r="65" spans="1:8" ht="31" x14ac:dyDescent="0.35">
      <c r="A65" s="9" t="s">
        <v>4</v>
      </c>
      <c r="B65" s="3" t="s">
        <v>5</v>
      </c>
      <c r="C65" s="3" t="s">
        <v>6</v>
      </c>
      <c r="D65" s="3" t="s">
        <v>7</v>
      </c>
      <c r="E65" s="4" t="s">
        <v>8</v>
      </c>
      <c r="F65" s="4" t="s">
        <v>9</v>
      </c>
      <c r="G65" s="4" t="s">
        <v>34</v>
      </c>
      <c r="H65" s="4" t="s">
        <v>10</v>
      </c>
    </row>
    <row r="66" spans="1:8" ht="77.5" x14ac:dyDescent="0.35">
      <c r="A66" s="10" t="s">
        <v>11</v>
      </c>
      <c r="B66" s="11">
        <v>45383</v>
      </c>
      <c r="C66" s="12">
        <v>0.33333333333333331</v>
      </c>
      <c r="D66" s="12">
        <v>0.5</v>
      </c>
      <c r="E66" s="13">
        <v>4</v>
      </c>
      <c r="F66" s="8" t="s">
        <v>105</v>
      </c>
      <c r="G66" s="8" t="s">
        <v>106</v>
      </c>
      <c r="H66" s="13" t="s">
        <v>107</v>
      </c>
    </row>
    <row r="67" spans="1:8" ht="46.5" x14ac:dyDescent="0.35">
      <c r="A67" s="13" t="s">
        <v>12</v>
      </c>
      <c r="B67" s="11">
        <v>45384</v>
      </c>
      <c r="C67" s="14">
        <v>0.70833333333333337</v>
      </c>
      <c r="D67" s="14">
        <v>0.95833333333333337</v>
      </c>
      <c r="E67" s="13">
        <v>6</v>
      </c>
      <c r="F67" s="8" t="s">
        <v>108</v>
      </c>
      <c r="G67" s="8" t="s">
        <v>109</v>
      </c>
      <c r="H67" s="13" t="s">
        <v>109</v>
      </c>
    </row>
    <row r="68" spans="1:8" ht="77.5" x14ac:dyDescent="0.35">
      <c r="A68" s="10" t="s">
        <v>13</v>
      </c>
      <c r="B68" s="11">
        <v>45385</v>
      </c>
      <c r="C68" s="12">
        <v>0.54166666666666663</v>
      </c>
      <c r="D68" s="12">
        <v>0.79166666666666663</v>
      </c>
      <c r="E68" s="13">
        <v>6</v>
      </c>
      <c r="F68" s="8" t="s">
        <v>112</v>
      </c>
      <c r="G68" s="8" t="s">
        <v>110</v>
      </c>
      <c r="H68" s="13" t="s">
        <v>111</v>
      </c>
    </row>
    <row r="69" spans="1:8" ht="31" x14ac:dyDescent="0.35">
      <c r="A69" s="13" t="s">
        <v>14</v>
      </c>
      <c r="B69" s="11">
        <v>45386</v>
      </c>
      <c r="C69" s="14">
        <v>0.41666666666666669</v>
      </c>
      <c r="D69" s="14">
        <v>0.58333333333333337</v>
      </c>
      <c r="E69" s="13">
        <v>4</v>
      </c>
      <c r="F69" s="8" t="s">
        <v>122</v>
      </c>
      <c r="G69" s="8" t="s">
        <v>110</v>
      </c>
      <c r="H69" s="13" t="s">
        <v>123</v>
      </c>
    </row>
    <row r="70" spans="1:8" ht="46.5" x14ac:dyDescent="0.35">
      <c r="A70" s="10" t="s">
        <v>15</v>
      </c>
      <c r="B70" s="11">
        <v>45387</v>
      </c>
      <c r="C70" s="12">
        <v>0.41666666666666669</v>
      </c>
      <c r="D70" s="12">
        <v>0.45833333333333331</v>
      </c>
      <c r="E70" s="13">
        <v>1</v>
      </c>
      <c r="F70" s="8" t="s">
        <v>113</v>
      </c>
      <c r="G70" s="8" t="s">
        <v>114</v>
      </c>
      <c r="H70" s="8" t="s">
        <v>115</v>
      </c>
    </row>
    <row r="71" spans="1:8" ht="47" thickBot="1" x14ac:dyDescent="0.4">
      <c r="A71" s="13" t="s">
        <v>16</v>
      </c>
      <c r="B71" s="11">
        <v>45388</v>
      </c>
      <c r="C71" s="14">
        <v>0.41666666666666669</v>
      </c>
      <c r="D71" s="14">
        <v>0.5</v>
      </c>
      <c r="E71" s="13">
        <v>3</v>
      </c>
      <c r="F71" s="8" t="s">
        <v>116</v>
      </c>
      <c r="G71" s="8" t="s">
        <v>117</v>
      </c>
      <c r="H71" s="13" t="s">
        <v>118</v>
      </c>
    </row>
    <row r="72" spans="1:8" ht="16" thickBot="1" x14ac:dyDescent="0.4">
      <c r="D72" s="4" t="s">
        <v>17</v>
      </c>
      <c r="E72" s="5">
        <f>SUM(E66:E71)</f>
        <v>24</v>
      </c>
    </row>
    <row r="74" spans="1:8" ht="20" thickBot="1" x14ac:dyDescent="0.5">
      <c r="A74" s="16" t="s">
        <v>0</v>
      </c>
      <c r="B74" s="16"/>
      <c r="C74" s="16"/>
      <c r="D74" s="16"/>
      <c r="E74" s="16"/>
      <c r="F74" s="16"/>
      <c r="G74" s="16"/>
      <c r="H74" s="16"/>
    </row>
    <row r="75" spans="1:8" ht="19" thickTop="1" x14ac:dyDescent="0.45">
      <c r="A75" s="1" t="s">
        <v>1</v>
      </c>
      <c r="B75" t="s">
        <v>18</v>
      </c>
      <c r="C75" s="1" t="s">
        <v>2</v>
      </c>
      <c r="D75" t="s">
        <v>19</v>
      </c>
      <c r="E75" t="s">
        <v>20</v>
      </c>
      <c r="F75" t="s">
        <v>21</v>
      </c>
      <c r="G75" s="2" t="s">
        <v>3</v>
      </c>
      <c r="H75" t="s">
        <v>125</v>
      </c>
    </row>
    <row r="77" spans="1:8" ht="31" x14ac:dyDescent="0.35">
      <c r="A77" s="9" t="s">
        <v>4</v>
      </c>
      <c r="B77" s="3" t="s">
        <v>5</v>
      </c>
      <c r="C77" s="3" t="s">
        <v>6</v>
      </c>
      <c r="D77" s="3" t="s">
        <v>7</v>
      </c>
      <c r="E77" s="4" t="s">
        <v>8</v>
      </c>
      <c r="F77" s="4" t="s">
        <v>9</v>
      </c>
      <c r="G77" s="4" t="s">
        <v>34</v>
      </c>
      <c r="H77" s="4" t="s">
        <v>10</v>
      </c>
    </row>
    <row r="78" spans="1:8" ht="62" x14ac:dyDescent="0.35">
      <c r="A78" s="10" t="s">
        <v>11</v>
      </c>
      <c r="B78" s="11">
        <v>45390</v>
      </c>
      <c r="C78" s="12">
        <v>0.33333333333333331</v>
      </c>
      <c r="D78" s="12">
        <v>0.54166666666666663</v>
      </c>
      <c r="E78" s="13">
        <v>5</v>
      </c>
      <c r="F78" s="8" t="s">
        <v>133</v>
      </c>
      <c r="G78" s="8" t="s">
        <v>126</v>
      </c>
      <c r="H78" s="13" t="s">
        <v>107</v>
      </c>
    </row>
    <row r="79" spans="1:8" ht="62" x14ac:dyDescent="0.35">
      <c r="A79" s="13" t="s">
        <v>12</v>
      </c>
      <c r="B79" s="11">
        <v>45391</v>
      </c>
      <c r="C79" s="12">
        <v>0.375</v>
      </c>
      <c r="D79" s="12">
        <v>0.625</v>
      </c>
      <c r="E79" s="13">
        <v>6</v>
      </c>
      <c r="F79" s="8" t="s">
        <v>134</v>
      </c>
      <c r="G79" s="8" t="s">
        <v>127</v>
      </c>
      <c r="H79" s="13" t="s">
        <v>128</v>
      </c>
    </row>
    <row r="80" spans="1:8" ht="31" x14ac:dyDescent="0.35">
      <c r="A80" s="10" t="s">
        <v>13</v>
      </c>
      <c r="B80" s="11">
        <v>45392</v>
      </c>
      <c r="C80" s="12">
        <v>0.375</v>
      </c>
      <c r="D80" s="12">
        <v>0.54166666666666663</v>
      </c>
      <c r="E80" s="13">
        <v>4</v>
      </c>
      <c r="F80" s="8" t="s">
        <v>129</v>
      </c>
      <c r="G80" s="8" t="s">
        <v>130</v>
      </c>
      <c r="H80" s="13" t="s">
        <v>131</v>
      </c>
    </row>
    <row r="81" spans="1:8" x14ac:dyDescent="0.35">
      <c r="A81" s="13" t="s">
        <v>14</v>
      </c>
      <c r="B81" s="11">
        <v>45393</v>
      </c>
      <c r="C81" s="14"/>
      <c r="D81" s="14"/>
      <c r="E81" s="13"/>
      <c r="F81" s="8"/>
      <c r="G81" s="8"/>
      <c r="H81" s="13"/>
    </row>
    <row r="82" spans="1:8" x14ac:dyDescent="0.35">
      <c r="A82" s="10" t="s">
        <v>15</v>
      </c>
      <c r="B82" s="11">
        <v>45394</v>
      </c>
      <c r="C82" s="12"/>
      <c r="D82" s="12"/>
      <c r="E82" s="13"/>
      <c r="F82" s="8"/>
      <c r="G82" s="8"/>
      <c r="H82" s="8"/>
    </row>
    <row r="83" spans="1:8" ht="16" thickBot="1" x14ac:dyDescent="0.4">
      <c r="A83" s="13" t="s">
        <v>16</v>
      </c>
      <c r="B83" s="11">
        <v>45395</v>
      </c>
      <c r="C83" s="14"/>
      <c r="D83" s="14"/>
      <c r="E83" s="13"/>
      <c r="F83" s="8"/>
      <c r="G83" s="8"/>
      <c r="H83" s="13"/>
    </row>
    <row r="84" spans="1:8" ht="16" thickBot="1" x14ac:dyDescent="0.4">
      <c r="D84" s="4" t="s">
        <v>17</v>
      </c>
      <c r="E84" s="5">
        <f>SUM(E78:E83)</f>
        <v>15</v>
      </c>
    </row>
    <row r="86" spans="1:8" ht="20" thickBot="1" x14ac:dyDescent="0.5">
      <c r="A86" s="16" t="s">
        <v>0</v>
      </c>
      <c r="B86" s="16"/>
      <c r="C86" s="16"/>
      <c r="D86" s="16"/>
      <c r="E86" s="16"/>
      <c r="F86" s="16"/>
      <c r="G86" s="16"/>
      <c r="H86" s="16"/>
    </row>
    <row r="87" spans="1:8" ht="19" thickTop="1" x14ac:dyDescent="0.45">
      <c r="A87" s="1" t="s">
        <v>1</v>
      </c>
      <c r="B87" t="s">
        <v>18</v>
      </c>
      <c r="C87" s="1" t="s">
        <v>2</v>
      </c>
      <c r="D87" t="s">
        <v>19</v>
      </c>
      <c r="E87" t="s">
        <v>20</v>
      </c>
      <c r="F87" t="s">
        <v>21</v>
      </c>
      <c r="G87" s="2" t="s">
        <v>3</v>
      </c>
      <c r="H87" t="s">
        <v>132</v>
      </c>
    </row>
    <row r="89" spans="1:8" ht="31" x14ac:dyDescent="0.35">
      <c r="A89" s="9" t="s">
        <v>4</v>
      </c>
      <c r="B89" s="3" t="s">
        <v>5</v>
      </c>
      <c r="C89" s="3" t="s">
        <v>6</v>
      </c>
      <c r="D89" s="3" t="s">
        <v>7</v>
      </c>
      <c r="E89" s="4" t="s">
        <v>8</v>
      </c>
      <c r="F89" s="4" t="s">
        <v>9</v>
      </c>
      <c r="G89" s="4" t="s">
        <v>34</v>
      </c>
      <c r="H89" s="4" t="s">
        <v>10</v>
      </c>
    </row>
    <row r="90" spans="1:8" ht="31" x14ac:dyDescent="0.35">
      <c r="A90" s="10" t="s">
        <v>11</v>
      </c>
      <c r="B90" s="11">
        <v>45397</v>
      </c>
      <c r="C90" s="12">
        <v>0.375</v>
      </c>
      <c r="D90" s="12">
        <v>0.5</v>
      </c>
      <c r="E90" s="13">
        <v>3</v>
      </c>
      <c r="F90" s="8" t="s">
        <v>135</v>
      </c>
      <c r="G90" s="8" t="s">
        <v>136</v>
      </c>
      <c r="H90" s="13" t="s">
        <v>137</v>
      </c>
    </row>
    <row r="91" spans="1:8" ht="46.5" x14ac:dyDescent="0.35">
      <c r="A91" s="13" t="s">
        <v>12</v>
      </c>
      <c r="B91" s="11">
        <v>45398</v>
      </c>
      <c r="C91" s="12">
        <v>0.375</v>
      </c>
      <c r="D91" s="12">
        <v>0.54166666666666663</v>
      </c>
      <c r="E91" s="13">
        <v>4</v>
      </c>
      <c r="F91" s="8" t="s">
        <v>138</v>
      </c>
      <c r="G91" s="8" t="s">
        <v>140</v>
      </c>
      <c r="H91" s="13" t="s">
        <v>139</v>
      </c>
    </row>
    <row r="92" spans="1:8" ht="46.5" x14ac:dyDescent="0.35">
      <c r="A92" s="10" t="s">
        <v>13</v>
      </c>
      <c r="B92" s="11">
        <v>45399</v>
      </c>
      <c r="C92" s="12">
        <v>0.375</v>
      </c>
      <c r="D92" s="12">
        <v>0.5</v>
      </c>
      <c r="E92" s="13">
        <v>3</v>
      </c>
      <c r="F92" s="8" t="s">
        <v>142</v>
      </c>
      <c r="G92" s="8" t="s">
        <v>141</v>
      </c>
      <c r="H92" s="13" t="s">
        <v>143</v>
      </c>
    </row>
    <row r="93" spans="1:8" x14ac:dyDescent="0.35">
      <c r="A93" s="13" t="s">
        <v>14</v>
      </c>
      <c r="B93" s="11">
        <v>45400</v>
      </c>
      <c r="C93" s="14"/>
      <c r="D93" s="14"/>
      <c r="E93" s="13"/>
      <c r="F93" s="8"/>
      <c r="G93" s="8"/>
      <c r="H93" s="13"/>
    </row>
    <row r="94" spans="1:8" x14ac:dyDescent="0.35">
      <c r="A94" s="10" t="s">
        <v>15</v>
      </c>
      <c r="B94" s="11">
        <v>45401</v>
      </c>
      <c r="C94" s="12"/>
      <c r="D94" s="12"/>
      <c r="E94" s="13"/>
      <c r="F94" s="8"/>
      <c r="G94" s="8"/>
      <c r="H94" s="8"/>
    </row>
    <row r="95" spans="1:8" ht="16" thickBot="1" x14ac:dyDescent="0.4">
      <c r="A95" s="13" t="s">
        <v>16</v>
      </c>
      <c r="B95" s="11">
        <v>45402</v>
      </c>
      <c r="C95" s="14"/>
      <c r="D95" s="14"/>
      <c r="E95" s="13"/>
      <c r="F95" s="8"/>
      <c r="G95" s="8"/>
      <c r="H95" s="13"/>
    </row>
    <row r="96" spans="1:8" ht="16" thickBot="1" x14ac:dyDescent="0.4">
      <c r="D96" s="4" t="s">
        <v>17</v>
      </c>
      <c r="E96" s="5">
        <f>SUM(E90:E95)</f>
        <v>10</v>
      </c>
    </row>
    <row r="98" spans="1:8" ht="20" thickBot="1" x14ac:dyDescent="0.5">
      <c r="A98" s="16" t="s">
        <v>0</v>
      </c>
      <c r="B98" s="16"/>
      <c r="C98" s="16"/>
      <c r="D98" s="16"/>
      <c r="E98" s="16"/>
      <c r="F98" s="16"/>
      <c r="G98" s="16"/>
      <c r="H98" s="16"/>
    </row>
    <row r="99" spans="1:8" ht="19" thickTop="1" x14ac:dyDescent="0.45">
      <c r="A99" s="1" t="s">
        <v>1</v>
      </c>
      <c r="B99" t="s">
        <v>18</v>
      </c>
      <c r="C99" s="1" t="s">
        <v>2</v>
      </c>
      <c r="D99" t="s">
        <v>19</v>
      </c>
      <c r="E99" t="s">
        <v>20</v>
      </c>
      <c r="F99" t="s">
        <v>21</v>
      </c>
      <c r="G99" s="2" t="s">
        <v>3</v>
      </c>
      <c r="H99" t="s">
        <v>124</v>
      </c>
    </row>
    <row r="101" spans="1:8" ht="31" x14ac:dyDescent="0.35">
      <c r="A101" s="9" t="s">
        <v>4</v>
      </c>
      <c r="B101" s="3" t="s">
        <v>5</v>
      </c>
      <c r="C101" s="3" t="s">
        <v>6</v>
      </c>
      <c r="D101" s="3" t="s">
        <v>7</v>
      </c>
      <c r="E101" s="4" t="s">
        <v>8</v>
      </c>
      <c r="F101" s="4" t="s">
        <v>9</v>
      </c>
      <c r="G101" s="4" t="s">
        <v>34</v>
      </c>
      <c r="H101" s="4" t="s">
        <v>10</v>
      </c>
    </row>
    <row r="102" spans="1:8" ht="38" customHeight="1" x14ac:dyDescent="0.35">
      <c r="A102" s="10" t="s">
        <v>11</v>
      </c>
      <c r="B102" s="11">
        <v>45404</v>
      </c>
      <c r="C102" s="12">
        <v>0.375</v>
      </c>
      <c r="D102" s="12">
        <v>0.54166666666666663</v>
      </c>
      <c r="E102" s="13">
        <v>4</v>
      </c>
      <c r="F102" s="8" t="s">
        <v>144</v>
      </c>
      <c r="G102" s="8" t="s">
        <v>145</v>
      </c>
      <c r="H102" s="13" t="s">
        <v>146</v>
      </c>
    </row>
    <row r="103" spans="1:8" ht="143.5" customHeight="1" x14ac:dyDescent="0.35">
      <c r="A103" s="13" t="s">
        <v>12</v>
      </c>
      <c r="B103" s="11">
        <v>45405</v>
      </c>
      <c r="C103" s="12">
        <v>0.375</v>
      </c>
      <c r="D103" s="12">
        <v>0.45833333333333331</v>
      </c>
      <c r="E103" s="13">
        <v>2</v>
      </c>
      <c r="F103" s="8" t="s">
        <v>153</v>
      </c>
      <c r="G103" s="8" t="s">
        <v>154</v>
      </c>
      <c r="H103" s="13" t="s">
        <v>155</v>
      </c>
    </row>
    <row r="104" spans="1:8" ht="155" x14ac:dyDescent="0.35">
      <c r="A104" s="10" t="s">
        <v>13</v>
      </c>
      <c r="B104" s="11">
        <v>45406</v>
      </c>
      <c r="C104" s="12">
        <v>0.41666666666666669</v>
      </c>
      <c r="D104" s="12">
        <v>0.70833333333333337</v>
      </c>
      <c r="E104" s="13">
        <v>5</v>
      </c>
      <c r="F104" s="8" t="s">
        <v>151</v>
      </c>
      <c r="G104" s="8" t="s">
        <v>147</v>
      </c>
      <c r="H104" s="13" t="s">
        <v>156</v>
      </c>
    </row>
    <row r="105" spans="1:8" ht="131" customHeight="1" x14ac:dyDescent="0.35">
      <c r="A105" s="13" t="s">
        <v>14</v>
      </c>
      <c r="B105" s="11">
        <v>45407</v>
      </c>
      <c r="C105" s="12">
        <v>0.375</v>
      </c>
      <c r="D105" s="12">
        <v>0.625</v>
      </c>
      <c r="E105" s="13">
        <v>6</v>
      </c>
      <c r="F105" s="8" t="s">
        <v>152</v>
      </c>
      <c r="G105" s="8" t="s">
        <v>148</v>
      </c>
      <c r="H105" s="13" t="s">
        <v>149</v>
      </c>
    </row>
    <row r="106" spans="1:8" ht="46.5" x14ac:dyDescent="0.35">
      <c r="A106" s="10" t="s">
        <v>15</v>
      </c>
      <c r="B106" s="11">
        <v>45408</v>
      </c>
      <c r="C106" s="12">
        <v>0.375</v>
      </c>
      <c r="D106" s="12">
        <v>0.5</v>
      </c>
      <c r="E106" s="13">
        <v>3</v>
      </c>
      <c r="F106" s="8" t="s">
        <v>159</v>
      </c>
      <c r="G106" s="8" t="s">
        <v>150</v>
      </c>
      <c r="H106" s="8" t="s">
        <v>157</v>
      </c>
    </row>
    <row r="107" spans="1:8" ht="38.5" customHeight="1" thickBot="1" x14ac:dyDescent="0.4">
      <c r="A107" s="13" t="s">
        <v>16</v>
      </c>
      <c r="B107" s="11">
        <v>45409</v>
      </c>
      <c r="C107" s="12">
        <v>0.45833333333333331</v>
      </c>
      <c r="D107" s="12">
        <v>0.54166666666666663</v>
      </c>
      <c r="E107" s="13">
        <v>2</v>
      </c>
      <c r="F107" s="8" t="s">
        <v>162</v>
      </c>
      <c r="G107" s="8" t="s">
        <v>160</v>
      </c>
      <c r="H107" s="13" t="s">
        <v>161</v>
      </c>
    </row>
    <row r="108" spans="1:8" ht="16" thickBot="1" x14ac:dyDescent="0.4">
      <c r="D108" s="4" t="s">
        <v>17</v>
      </c>
      <c r="E108" s="5">
        <f>SUM(E102:E107)</f>
        <v>22</v>
      </c>
    </row>
    <row r="110" spans="1:8" ht="20" thickBot="1" x14ac:dyDescent="0.5">
      <c r="A110" s="16" t="s">
        <v>0</v>
      </c>
      <c r="B110" s="16"/>
      <c r="C110" s="16"/>
      <c r="D110" s="16"/>
      <c r="E110" s="16"/>
      <c r="F110" s="16"/>
      <c r="G110" s="16"/>
      <c r="H110" s="16"/>
    </row>
    <row r="111" spans="1:8" ht="19" thickTop="1" x14ac:dyDescent="0.45">
      <c r="A111" s="1" t="s">
        <v>1</v>
      </c>
      <c r="B111" t="s">
        <v>18</v>
      </c>
      <c r="C111" s="1" t="s">
        <v>2</v>
      </c>
      <c r="D111" t="s">
        <v>19</v>
      </c>
      <c r="E111" t="s">
        <v>20</v>
      </c>
      <c r="F111" t="s">
        <v>21</v>
      </c>
      <c r="G111" s="2" t="s">
        <v>3</v>
      </c>
      <c r="H111" t="s">
        <v>158</v>
      </c>
    </row>
    <row r="113" spans="1:8" ht="31" x14ac:dyDescent="0.35">
      <c r="A113" s="9" t="s">
        <v>4</v>
      </c>
      <c r="B113" s="3" t="s">
        <v>5</v>
      </c>
      <c r="C113" s="3" t="s">
        <v>6</v>
      </c>
      <c r="D113" s="3" t="s">
        <v>7</v>
      </c>
      <c r="E113" s="4" t="s">
        <v>8</v>
      </c>
      <c r="F113" s="4" t="s">
        <v>9</v>
      </c>
      <c r="G113" s="4" t="s">
        <v>34</v>
      </c>
      <c r="H113" s="4" t="s">
        <v>10</v>
      </c>
    </row>
    <row r="114" spans="1:8" ht="101.5" customHeight="1" x14ac:dyDescent="0.35">
      <c r="A114" s="10" t="s">
        <v>11</v>
      </c>
      <c r="B114" s="11">
        <v>45411</v>
      </c>
      <c r="C114" s="12">
        <v>0.375</v>
      </c>
      <c r="D114" s="12">
        <v>8.3333333333333329E-2</v>
      </c>
      <c r="E114" s="13">
        <v>5</v>
      </c>
      <c r="F114" s="8" t="s">
        <v>166</v>
      </c>
      <c r="G114" s="8" t="s">
        <v>168</v>
      </c>
      <c r="H114" s="13" t="s">
        <v>165</v>
      </c>
    </row>
    <row r="115" spans="1:8" ht="98.5" customHeight="1" x14ac:dyDescent="0.35">
      <c r="A115" s="13" t="s">
        <v>12</v>
      </c>
      <c r="B115" s="11">
        <v>45412</v>
      </c>
      <c r="C115" s="14">
        <v>0.375</v>
      </c>
      <c r="D115" s="14">
        <v>0.5</v>
      </c>
      <c r="E115" s="13">
        <v>3</v>
      </c>
      <c r="F115" s="8" t="s">
        <v>167</v>
      </c>
      <c r="G115" s="8" t="s">
        <v>163</v>
      </c>
      <c r="H115" s="13" t="s">
        <v>164</v>
      </c>
    </row>
    <row r="116" spans="1:8" ht="83" customHeight="1" x14ac:dyDescent="0.35">
      <c r="A116" s="10" t="s">
        <v>13</v>
      </c>
      <c r="B116" s="11">
        <v>45413</v>
      </c>
      <c r="C116" s="12">
        <v>0.41666666666666669</v>
      </c>
      <c r="D116" s="12">
        <v>0.70833333333333337</v>
      </c>
      <c r="E116" s="13">
        <v>7</v>
      </c>
      <c r="F116" s="8" t="s">
        <v>170</v>
      </c>
      <c r="G116" s="8" t="s">
        <v>169</v>
      </c>
      <c r="H116" s="13" t="s">
        <v>171</v>
      </c>
    </row>
    <row r="117" spans="1:8" ht="187.5" customHeight="1" x14ac:dyDescent="0.35">
      <c r="A117" s="13" t="s">
        <v>14</v>
      </c>
      <c r="B117" s="11">
        <v>45414</v>
      </c>
      <c r="C117" s="14">
        <v>0.375</v>
      </c>
      <c r="D117" s="14">
        <v>0.79166666666666663</v>
      </c>
      <c r="E117" s="13">
        <v>10</v>
      </c>
      <c r="F117" s="8" t="s">
        <v>172</v>
      </c>
      <c r="G117" s="8" t="s">
        <v>173</v>
      </c>
      <c r="H117" s="13" t="s">
        <v>174</v>
      </c>
    </row>
    <row r="118" spans="1:8" ht="208.5" customHeight="1" x14ac:dyDescent="0.35">
      <c r="A118" s="10" t="s">
        <v>15</v>
      </c>
      <c r="B118" s="11">
        <v>45415</v>
      </c>
      <c r="C118" s="12">
        <v>0.375</v>
      </c>
      <c r="D118" s="12">
        <v>0.58333333333333337</v>
      </c>
      <c r="E118" s="13">
        <v>5</v>
      </c>
      <c r="F118" s="8" t="s">
        <v>175</v>
      </c>
      <c r="G118" s="8" t="s">
        <v>176</v>
      </c>
      <c r="H118" s="8" t="s">
        <v>177</v>
      </c>
    </row>
    <row r="119" spans="1:8" ht="16" thickBot="1" x14ac:dyDescent="0.4">
      <c r="A119" s="13" t="s">
        <v>16</v>
      </c>
      <c r="B119" s="11">
        <v>45416</v>
      </c>
      <c r="C119" s="14"/>
      <c r="D119" s="14"/>
      <c r="E119" s="13"/>
      <c r="F119" s="8"/>
      <c r="G119" s="8"/>
      <c r="H119" s="13"/>
    </row>
    <row r="120" spans="1:8" ht="16" thickBot="1" x14ac:dyDescent="0.4">
      <c r="D120" s="4" t="s">
        <v>17</v>
      </c>
      <c r="E120" s="5">
        <f>SUM(E114:E119)</f>
        <v>30</v>
      </c>
    </row>
    <row r="122" spans="1:8" ht="20" thickBot="1" x14ac:dyDescent="0.5">
      <c r="A122" s="16" t="s">
        <v>0</v>
      </c>
      <c r="B122" s="16"/>
      <c r="C122" s="16"/>
      <c r="D122" s="16"/>
      <c r="E122" s="16"/>
      <c r="F122" s="16"/>
      <c r="G122" s="16"/>
      <c r="H122" s="16"/>
    </row>
    <row r="123" spans="1:8" ht="19" thickTop="1" x14ac:dyDescent="0.45">
      <c r="A123" s="1" t="s">
        <v>1</v>
      </c>
      <c r="B123" t="s">
        <v>18</v>
      </c>
      <c r="C123" s="1" t="s">
        <v>2</v>
      </c>
      <c r="D123" t="s">
        <v>19</v>
      </c>
      <c r="E123" t="s">
        <v>20</v>
      </c>
      <c r="F123" t="s">
        <v>21</v>
      </c>
      <c r="G123" s="2" t="s">
        <v>3</v>
      </c>
      <c r="H123" s="15" t="s">
        <v>178</v>
      </c>
    </row>
    <row r="125" spans="1:8" ht="31" x14ac:dyDescent="0.35">
      <c r="A125" s="9" t="s">
        <v>4</v>
      </c>
      <c r="B125" s="3" t="s">
        <v>5</v>
      </c>
      <c r="C125" s="3" t="s">
        <v>6</v>
      </c>
      <c r="D125" s="3" t="s">
        <v>7</v>
      </c>
      <c r="E125" s="4" t="s">
        <v>8</v>
      </c>
      <c r="F125" s="4" t="s">
        <v>9</v>
      </c>
      <c r="G125" s="4" t="s">
        <v>34</v>
      </c>
      <c r="H125" s="4" t="s">
        <v>10</v>
      </c>
    </row>
    <row r="126" spans="1:8" ht="119.5" customHeight="1" x14ac:dyDescent="0.35">
      <c r="A126" s="10" t="s">
        <v>11</v>
      </c>
      <c r="B126" s="11">
        <v>45418</v>
      </c>
      <c r="C126" s="12">
        <v>0.375</v>
      </c>
      <c r="D126" s="12">
        <v>0.45833333333333331</v>
      </c>
      <c r="E126" s="13">
        <v>2</v>
      </c>
      <c r="F126" s="8" t="s">
        <v>179</v>
      </c>
      <c r="G126" s="8" t="s">
        <v>184</v>
      </c>
      <c r="H126" s="13" t="s">
        <v>180</v>
      </c>
    </row>
    <row r="127" spans="1:8" ht="131.5" customHeight="1" x14ac:dyDescent="0.35">
      <c r="A127" s="13" t="s">
        <v>12</v>
      </c>
      <c r="B127" s="11">
        <v>45419</v>
      </c>
      <c r="C127" s="12">
        <v>0.375</v>
      </c>
      <c r="D127" s="12">
        <v>0.875</v>
      </c>
      <c r="E127" s="13">
        <v>12</v>
      </c>
      <c r="F127" s="8" t="s">
        <v>181</v>
      </c>
      <c r="G127" s="8" t="s">
        <v>182</v>
      </c>
      <c r="H127" s="13" t="s">
        <v>183</v>
      </c>
    </row>
    <row r="128" spans="1:8" ht="221" customHeight="1" x14ac:dyDescent="0.35">
      <c r="A128" s="10" t="s">
        <v>13</v>
      </c>
      <c r="B128" s="11">
        <v>45420</v>
      </c>
      <c r="C128" s="12">
        <v>0.41666666666666669</v>
      </c>
      <c r="D128" s="12">
        <v>0.70833333333333337</v>
      </c>
      <c r="E128" s="13">
        <v>7</v>
      </c>
      <c r="F128" s="8" t="s">
        <v>189</v>
      </c>
      <c r="G128" s="8" t="s">
        <v>185</v>
      </c>
      <c r="H128" s="13" t="s">
        <v>186</v>
      </c>
    </row>
    <row r="129" spans="1:8" ht="108.5" customHeight="1" x14ac:dyDescent="0.35">
      <c r="A129" s="13" t="s">
        <v>14</v>
      </c>
      <c r="B129" s="11">
        <v>45421</v>
      </c>
      <c r="C129" s="14">
        <v>0.375</v>
      </c>
      <c r="D129" s="14">
        <v>0.45833333333333331</v>
      </c>
      <c r="E129" s="13">
        <v>2</v>
      </c>
      <c r="F129" s="8" t="s">
        <v>187</v>
      </c>
      <c r="G129" s="8" t="s">
        <v>188</v>
      </c>
      <c r="H129" s="13" t="s">
        <v>190</v>
      </c>
    </row>
    <row r="130" spans="1:8" x14ac:dyDescent="0.35">
      <c r="A130" s="10" t="s">
        <v>15</v>
      </c>
      <c r="B130" s="11">
        <v>45422</v>
      </c>
      <c r="C130" s="12"/>
      <c r="D130" s="12"/>
      <c r="E130" s="13"/>
      <c r="F130" s="8"/>
      <c r="G130" s="8"/>
      <c r="H130" s="8"/>
    </row>
    <row r="131" spans="1:8" ht="16" thickBot="1" x14ac:dyDescent="0.4">
      <c r="A131" s="13" t="s">
        <v>16</v>
      </c>
      <c r="B131" s="11">
        <v>45423</v>
      </c>
      <c r="C131" s="14"/>
      <c r="D131" s="14"/>
      <c r="E131" s="13"/>
      <c r="F131" s="8"/>
      <c r="G131" s="8"/>
      <c r="H131" s="13"/>
    </row>
    <row r="132" spans="1:8" ht="16" thickBot="1" x14ac:dyDescent="0.4">
      <c r="D132" s="4" t="s">
        <v>17</v>
      </c>
      <c r="E132" s="5">
        <f>SUM(E126:E131)</f>
        <v>23</v>
      </c>
    </row>
  </sheetData>
  <mergeCells count="11">
    <mergeCell ref="A122:H122"/>
    <mergeCell ref="A86:H86"/>
    <mergeCell ref="A98:H98"/>
    <mergeCell ref="A110:H110"/>
    <mergeCell ref="A74:H74"/>
    <mergeCell ref="A62:H62"/>
    <mergeCell ref="A2:H2"/>
    <mergeCell ref="A14:H14"/>
    <mergeCell ref="A26:H26"/>
    <mergeCell ref="A38:H38"/>
    <mergeCell ref="A50:H50"/>
  </mergeCells>
  <phoneticPr fontId="4" type="noConversion"/>
  <dataValidations count="1">
    <dataValidation type="time" allowBlank="1" showInputMessage="1" showErrorMessage="1" errorTitle="Invalid Entry" error="Please enter time in military time format between 0:00 and 23:59 (1:00, 8:00, 13:00, 20:00, etc.)." sqref="C6:D11 C18:D23 C30:D35 C42:D47 C54:D59 C66:D71 C114:D119 C78:D83 C90:D95 C102:D107 C126:D131" xr:uid="{00000000-0002-0000-0000-000000000000}">
      <formula1>0</formula1>
      <formula2>0.999305555555556</formula2>
    </dataValidation>
  </dataValidations>
  <pageMargins left="0.7" right="0.7" top="0.75" bottom="0.75" header="0.3" footer="0.3"/>
  <pageSetup paperSize="9" scale="12" orientation="portrait" horizontalDpi="4294967292" verticalDpi="4294967292" r:id="rId1"/>
  <extLst>
    <ext xmlns:mx="http://schemas.microsoft.com/office/mac/excel/2008/main" uri="{64002731-A6B0-56B0-2670-7721B7C09600}">
      <mx:PLV Mode="0" OnePage="0" WScale="10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Sheet2</vt:lpstr>
      <vt:lpstr>Sheet2!Print_Area</vt:lpstr>
      <vt:lpstr>Week_Start</vt:lpstr>
    </vt:vector>
  </TitlesOfParts>
  <Company>University of Adelaide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Cruz Izu</dc:creator>
  <cp:lastModifiedBy>Nilangi Maheesha Sithumini Edirisinghe (Student)</cp:lastModifiedBy>
  <cp:lastPrinted>2024-05-27T11:41:24Z</cp:lastPrinted>
  <dcterms:created xsi:type="dcterms:W3CDTF">2017-02-27T01:54:10Z</dcterms:created>
  <dcterms:modified xsi:type="dcterms:W3CDTF">2024-05-27T11:41:57Z</dcterms:modified>
</cp:coreProperties>
</file>